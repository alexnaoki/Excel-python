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41DC5C66-78F8-4421-A0A2-38154BD1062B}" xr6:coauthVersionLast="47" xr6:coauthVersionMax="47" xr10:uidLastSave="{00000000-0000-0000-0000-000000000000}"/>
  <bookViews>
    <workbookView xWindow="6795" yWindow="-8145" windowWidth="11145" windowHeight="10455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check_dimensonament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ownload_HidrowebSt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ind_Cod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odo_racion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ando">
          <x14:argumentDescriptions count="1">
            <x14:argumentDescription index="0">Positional argument 1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  <x14:definedName name="vazao_acumulad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vazao_tub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vazaoQuantil_HidrowebStation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1" l="1" a="1"/>
  <c r="E13" i="1"/>
  <c r="A12" i="1" a="1"/>
  <c r="A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<sst xmlns="http://schemas.openxmlformats.org/spreadsheetml/2006/main" count="23" uniqueCount="22">
  <si>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</si>
  <si>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</si>
  <si>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</si>
  <si>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</si>
  <si>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</si>
  <si>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</si>
  <si>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</si>
  <si>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</si>
  <si>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</si>
  <si>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</si>
  <si>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</si>
  <si>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</si>
  <si>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</si>
  <si>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</si>
  <si>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Estado</t>
  </si>
  <si>
    <t>km2</t>
  </si>
  <si>
    <t>GOIÁS</t>
  </si>
  <si>
    <t>Área de Drenagem (Max)</t>
  </si>
  <si>
    <t>Área de Drenagem (Min)</t>
  </si>
  <si>
    <t>Quantil</t>
  </si>
  <si>
    <t>%</t>
  </si>
  <si>
    <t>Vazao quantil(m3/s)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</si>
</sst>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5</xdr:row>
          <xdr:rowOff>0</xdr:rowOff>
        </xdr:from>
        <xdr:to>
          <xdr:col>7</xdr:col>
          <xdr:colOff>317500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8</xdr:row>
          <xdr:rowOff>30480</xdr:rowOff>
        </xdr:from>
        <xdr:to>
          <xdr:col>7</xdr:col>
          <xdr:colOff>457200</xdr:colOff>
          <xdr:row>9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28"/>
  <sheetViews>
    <sheetView tabSelected="1" zoomScale="90" zoomScaleNormal="90" workbookViewId="0">
      <selection activeCell="B6" sqref="B6"/>
    </sheetView>
  </sheetViews>
  <sheetFormatPr defaultColWidth="11" defaultRowHeight="15.6" x14ac:dyDescent="0.3"/>
  <cols>
    <col min="1" max="1" width="22" bestFit="1" customWidth="1"/>
    <col min="2" max="2" width="9.09765625" customWidth="1"/>
    <col min="3" max="3" width="13.3984375" bestFit="1" customWidth="1"/>
    <col min="4" max="4" width="13.296875" customWidth="1"/>
    <col min="5" max="5" width="16.69921875" customWidth="1"/>
    <col min="6" max="7" width="8.8984375" bestFit="1" customWidth="1"/>
    <col min="8" max="8" width="10.19921875" customWidth="1"/>
    <col min="9" max="9" width="9.296875" customWidth="1"/>
    <col min="10" max="10" width="6.796875" customWidth="1"/>
    <col min="11" max="11" width="8.796875" customWidth="1"/>
    <col min="12" max="12" width="8.5" customWidth="1"/>
  </cols>
  <sheetData>
    <row r="2" spans="1:5" x14ac:dyDescent="0.3">
      <c r="A2" t="s">
        <v>14</v>
      </c>
      <c r="B2" t="s">
        <v>16</v>
      </c>
    </row>
    <row r="3" spans="1:5" x14ac:dyDescent="0.3">
      <c r="A3" t="s">
        <v>18</v>
      </c>
      <c r="B3">
        <v>50</v>
      </c>
      <c r="C3" t="s">
        <v>15</v>
      </c>
    </row>
    <row r="4" spans="1:5" x14ac:dyDescent="0.3">
      <c r="A4" t="s">
        <v>17</v>
      </c>
      <c r="B4">
        <v>150</v>
      </c>
      <c r="C4" t="s">
        <v>15</v>
      </c>
    </row>
    <row r="5" spans="1:5" x14ac:dyDescent="0.3">
      <c r="A5" t="s">
        <v>19</v>
      </c>
      <c r="B5">
        <v>80</v>
      </c>
      <c r="C5" t="s">
        <v>20</v>
      </c>
    </row>
    <row r="6" spans="1:5" s="3" customFormat="1" x14ac:dyDescent="0.3"/>
    <row r="12" spans="1:5" x14ac:dyDescent="0.3">
      <c r="A12" t="str" cm="1">
        <f t="array" ref="A12:C28">find_Code(B2,B3,B4)</f>
        <v/>
      </c>
      <c r="B12" t="str">
        <v>Codigo</v>
      </c>
      <c r="C12" t="str">
        <v>AreaDrenagem</v>
      </c>
      <c r="E12" t="s">
        <v>21</v>
      </c>
    </row>
    <row r="13" spans="1:5" x14ac:dyDescent="0.3">
      <c r="A13">
        <v>22816</v>
      </c>
      <c r="B13">
        <v>21100000</v>
      </c>
      <c r="C13">
        <v>144</v>
      </c>
      <c r="E13" t="str" cm="1">
        <f t="array" ref="E13:E28">vazaoQuantil_HidrowebStation(B2,B3,B4,B5,B13:B28)</f>
        <v>Sem dados</v>
      </c>
    </row>
    <row r="14" spans="1:5" x14ac:dyDescent="0.3">
      <c r="A14">
        <v>23176</v>
      </c>
      <c r="B14">
        <v>24210100</v>
      </c>
      <c r="C14">
        <v>83.75</v>
      </c>
      <c r="E14" t="str">
        <v>Sem dados</v>
      </c>
    </row>
    <row r="15" spans="1:5" x14ac:dyDescent="0.3">
      <c r="A15">
        <v>23245</v>
      </c>
      <c r="B15">
        <v>25090000</v>
      </c>
      <c r="C15">
        <v>103</v>
      </c>
      <c r="E15">
        <v>1.9916</v>
      </c>
    </row>
    <row r="16" spans="1:5" x14ac:dyDescent="0.3">
      <c r="A16">
        <v>26099</v>
      </c>
      <c r="B16">
        <v>42450100</v>
      </c>
      <c r="C16">
        <v>96.2</v>
      </c>
      <c r="E16">
        <v>1.6845000000000001</v>
      </c>
    </row>
    <row r="17" spans="1:5" x14ac:dyDescent="0.3">
      <c r="A17">
        <v>30527</v>
      </c>
      <c r="B17">
        <v>60318000</v>
      </c>
      <c r="C17">
        <v>108</v>
      </c>
      <c r="E17" t="str">
        <v>Sem dados</v>
      </c>
    </row>
    <row r="18" spans="1:5" x14ac:dyDescent="0.3">
      <c r="A18">
        <v>30533</v>
      </c>
      <c r="B18">
        <v>60321800</v>
      </c>
      <c r="C18">
        <v>66.92</v>
      </c>
      <c r="E18" t="str">
        <v>Sem dados</v>
      </c>
    </row>
    <row r="19" spans="1:5" x14ac:dyDescent="0.3">
      <c r="A19">
        <v>30584</v>
      </c>
      <c r="B19">
        <v>60431100</v>
      </c>
      <c r="C19">
        <v>88.2</v>
      </c>
      <c r="E19" t="str">
        <v>Sem dados</v>
      </c>
    </row>
    <row r="20" spans="1:5" x14ac:dyDescent="0.3">
      <c r="A20">
        <v>30588</v>
      </c>
      <c r="B20">
        <v>60432490</v>
      </c>
      <c r="C20">
        <v>98</v>
      </c>
      <c r="E20" t="str">
        <v>Sem dados</v>
      </c>
    </row>
    <row r="21" spans="1:5" x14ac:dyDescent="0.3">
      <c r="A21">
        <v>30644</v>
      </c>
      <c r="B21">
        <v>60436400</v>
      </c>
      <c r="C21">
        <v>77.5</v>
      </c>
      <c r="E21">
        <v>1.7517</v>
      </c>
    </row>
    <row r="22" spans="1:5" x14ac:dyDescent="0.3">
      <c r="A22">
        <v>30890</v>
      </c>
      <c r="B22">
        <v>60544000</v>
      </c>
      <c r="C22">
        <v>65.2</v>
      </c>
      <c r="E22">
        <v>1.5564000000000007</v>
      </c>
    </row>
    <row r="23" spans="1:5" x14ac:dyDescent="0.3">
      <c r="A23">
        <v>30891</v>
      </c>
      <c r="B23">
        <v>60544100</v>
      </c>
      <c r="C23">
        <v>62</v>
      </c>
      <c r="E23">
        <v>1.5987</v>
      </c>
    </row>
    <row r="24" spans="1:5" x14ac:dyDescent="0.3">
      <c r="A24">
        <v>30982</v>
      </c>
      <c r="B24">
        <v>60620550</v>
      </c>
      <c r="C24">
        <v>109.71</v>
      </c>
      <c r="E24" t="str">
        <v>Sem dados</v>
      </c>
    </row>
    <row r="25" spans="1:5" x14ac:dyDescent="0.3">
      <c r="A25">
        <v>31021</v>
      </c>
      <c r="B25">
        <v>60652000</v>
      </c>
      <c r="C25">
        <v>139</v>
      </c>
      <c r="E25" t="str">
        <v>Sem dados</v>
      </c>
    </row>
    <row r="26" spans="1:5" x14ac:dyDescent="0.3">
      <c r="A26">
        <v>31022</v>
      </c>
      <c r="B26">
        <v>60653000</v>
      </c>
      <c r="C26">
        <v>51</v>
      </c>
      <c r="E26">
        <v>1.3396999999999999</v>
      </c>
    </row>
    <row r="27" spans="1:5" x14ac:dyDescent="0.3">
      <c r="A27">
        <v>31094</v>
      </c>
      <c r="B27">
        <v>60794650</v>
      </c>
      <c r="C27">
        <v>136.63</v>
      </c>
      <c r="E27" t="str">
        <v>Sem dados</v>
      </c>
    </row>
    <row r="28" spans="1:5" x14ac:dyDescent="0.3">
      <c r="A28">
        <v>31108</v>
      </c>
      <c r="B28">
        <v>60811000</v>
      </c>
      <c r="C28">
        <v>148</v>
      </c>
      <c r="E28">
        <v>4.3001400000000167</v>
      </c>
    </row>
  </sheetData>
  <pageMargins left="0.75" right="0.75" top="1" bottom="1" header="0.5" footer="0.5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wnload_HidrowebInventario" altText="Download Inventario">
                <anchor moveWithCells="1" siz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7</xdr:col>
                    <xdr:colOff>320040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Inventario">
                <anchor moveWithCells="1" sizeWithCells="1">
                  <from>
                    <xdr:col>4</xdr:col>
                    <xdr:colOff>464820</xdr:colOff>
                    <xdr:row>8</xdr:row>
                    <xdr:rowOff>30480</xdr:rowOff>
                  </from>
                  <to>
                    <xdr:col>7</xdr:col>
                    <xdr:colOff>457200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2021-09-26T20:58:54Z</dcterms:modified>
</cp:coreProperties>
</file>