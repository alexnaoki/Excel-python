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8_{B61540D8-060C-4621-BE11-318A09A54323}" xr6:coauthVersionLast="47" xr6:coauthVersionMax="47" xr10:uidLastSave="{00000000-0000-0000-0000-000000000000}"/>
  <bookViews>
    <workbookView xWindow="11508" yWindow="4380" windowWidth="11520" windowHeight="5916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fileRecoveryPr repairLoad="1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ef_atrit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imensionar">
          <x14:argumentDescriptions count="1">
            <x14:argumentDescription index="0">Positional argument 1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carg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localizad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Dimensionamento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1" l="1" a="1"/>
  <c r="B19" i="1"/>
  <c r="B15" i="1" a="1"/>
  <c r="B15" i="1"/>
  <c r="C7" i="1" a="1"/>
  <c r="C7" i="1"/>
  <c r="D11" i="1" a="1"/>
  <c r="D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<sst xmlns="http://schemas.openxmlformats.org/spreadsheetml/2006/main" count="25" uniqueCount="24">
  <si>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</si>
  <si>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</si>
  <si>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</si>
  <si>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</si>
  <si>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</si>
  <si>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</si>
  <si>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</si>
  <si>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</si>
  <si>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</si>
  <si>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</si>
  <si>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</si>
  <si>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</si>
  <si>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</si>
  <si>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</si>
  <si>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v</t>
  </si>
  <si>
    <t>d</t>
  </si>
  <si>
    <t>e</t>
  </si>
  <si>
    <t/>
  </si>
  <si>
    <t>L</t>
  </si>
  <si>
    <t>V</t>
  </si>
  <si>
    <t>D</t>
  </si>
  <si>
    <t>f</t>
  </si>
  <si>
    <t>K</t>
  </si>
  <si>
    <t>vazao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</si>
</sst>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E19"/>
  <sheetViews>
    <sheetView tabSelected="1" topLeftCell="A4" workbookViewId="0">
      <selection activeCell="F14" sqref="F14"/>
    </sheetView>
  </sheetViews>
  <sheetFormatPr defaultColWidth="11" defaultRowHeight="15.6" x14ac:dyDescent="0.3"/>
  <cols>
    <col min="2" max="3" width="11.8984375" bestFit="1" customWidth="1"/>
    <col min="4" max="4" width="13.296875" customWidth="1"/>
    <col min="5" max="5" width="12.296875" customWidth="1"/>
    <col min="6" max="6" width="7.796875" customWidth="1"/>
    <col min="7" max="7" width="6.3984375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5" spans="2:5" x14ac:dyDescent="0.3">
      <c r="B5" t="s">
        <v>14</v>
      </c>
      <c r="C5" t="s">
        <v>15</v>
      </c>
      <c r="D5" t="s">
        <v>16</v>
      </c>
    </row>
    <row r="6" spans="2:5" s="3" customFormat="1" x14ac:dyDescent="0.3">
      <c r="B6" s="3">
        <v>1.4</v>
      </c>
      <c r="C6" s="3">
        <v>0.2</v>
      </c>
      <c r="D6" s="3">
        <v>0.01</v>
      </c>
    </row>
    <row r="7" spans="2:5" x14ac:dyDescent="0.3">
      <c r="C7" cm="1">
        <f t="array" ref="C7:D7">coef_atrito(B6,C6,D6)</f>
        <v>1.5103756740217102E-2</v>
      </c>
      <c r="D7" t="str">
        <v>dimensionless</v>
      </c>
    </row>
    <row r="8" spans="2:5" x14ac:dyDescent="0.3">
      <c r="C8" s="4" t="s">
        <v>17</v>
      </c>
    </row>
    <row r="9" spans="2:5" x14ac:dyDescent="0.3">
      <c r="B9" t="s">
        <v>18</v>
      </c>
      <c r="C9" t="s">
        <v>19</v>
      </c>
      <c r="D9" t="s">
        <v>20</v>
      </c>
      <c r="E9" t="s">
        <v>21</v>
      </c>
    </row>
    <row r="10" spans="2:5" x14ac:dyDescent="0.3">
      <c r="B10">
        <v>1000</v>
      </c>
      <c r="C10">
        <v>2</v>
      </c>
      <c r="D10">
        <v>0.2</v>
      </c>
      <c r="E10">
        <v>2.1700000000000001E-2</v>
      </c>
    </row>
    <row r="11" spans="2:5" x14ac:dyDescent="0.3">
      <c r="D11" cm="1">
        <f t="array" ref="D11:E11">perda_carga(B10,C10,D10,E10)</f>
        <v>22.120285423037714</v>
      </c>
      <c r="E11" t="str">
        <v>meter</v>
      </c>
    </row>
    <row r="13" spans="2:5" x14ac:dyDescent="0.3">
      <c r="B13" t="s">
        <v>14</v>
      </c>
      <c r="C13" t="s">
        <v>22</v>
      </c>
    </row>
    <row r="14" spans="2:5" x14ac:dyDescent="0.3">
      <c r="B14">
        <v>3</v>
      </c>
      <c r="C14">
        <v>1</v>
      </c>
    </row>
    <row r="15" spans="2:5" x14ac:dyDescent="0.3">
      <c r="B15" cm="1">
        <f t="array" ref="B15:C15">perda_localizada(B14,C14)</f>
        <v>0.9174311926605504</v>
      </c>
      <c r="C15" t="str">
        <v>meter</v>
      </c>
    </row>
    <row r="17" spans="2:4" x14ac:dyDescent="0.3">
      <c r="B17" t="s">
        <v>23</v>
      </c>
    </row>
    <row r="18" spans="2:4" x14ac:dyDescent="0.3">
      <c r="B18">
        <v>16000</v>
      </c>
    </row>
    <row r="19" spans="2:4" x14ac:dyDescent="0.3">
      <c r="B19" cm="1">
        <f t="array" ref="B19:D19">preDimensionamento(B18)</f>
        <v>0.92131773192356126</v>
      </c>
      <c r="C19">
        <v>4.4444444444444462E-3</v>
      </c>
      <c r="D19">
        <v>6.1421182128237432E-2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2021-09-19T00:58:07Z</dcterms:modified>
</cp:coreProperties>
</file>