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git\Excel-python\test\"/>
    </mc:Choice>
  </mc:AlternateContent>
  <xr:revisionPtr revIDLastSave="0" documentId="13_ncr:1_{61D4C595-2BB5-42E8-AE88-15FA5EB99A88}" xr6:coauthVersionLast="47" xr6:coauthVersionMax="47" xr10:uidLastSave="{00000000-0000-0000-0000-000000000000}"/>
  <bookViews>
    <workbookView xWindow="28740" yWindow="660" windowWidth="16845" windowHeight="7170" tabRatio="500" xr2:uid="{00000000-000D-0000-FFFF-FFFF00000000}"/>
  </bookViews>
  <sheets>
    <sheet name="Sheet1" sheetId="1" r:id="rId1"/>
    <sheet name="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aa">
          <x14:argumentDescriptions count="1">
            <x14:argumentDescription index="0">Positional argument 1</x14:argumentDescription>
          </x14:argumentDescriptions>
        </x14:definedName>
        <x14:definedName name="aco_opcoes">
          <x14:argumentDescriptions count="1">
            <x14:argumentDescription index="0">Positional argument 1</x14:argumentDescription>
          </x14:argumentDescriptions>
        </x14:definedName>
        <x14:definedName name="area_aco">
          <x14:argumentDescriptions count="1">
            <x14:argumentDescription index="0">Positional argument 1</x14:argumentDescription>
          </x14:argumentDescriptions>
        </x14:definedName>
        <x14:definedName name="combinacoes_bitol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yfunct">
          <x14:argumentDescriptions count="1">
            <x14:argumentDescription index="0">Positional argument 1</x14:argumentDescription>
          </x14:argumentDescriptions>
        </x14:definedName>
        <x14:definedName name="opcoes_por_bitol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teste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6" i="1" l="1" a="1"/>
  <c r="C26" i="1"/>
  <c r="G19" i="1" a="1"/>
  <c r="G19" i="1"/>
  <c r="G8" i="1" a="1"/>
  <c r="G8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<sst xmlns="http://schemas.openxmlformats.org/spreadsheetml/2006/main" count="24" uniqueCount="22">
  <si>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</si>
  <si>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</si>
  <si>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</si>
  <si>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</si>
  <si>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</si>
  <si>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</si>
  <si>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</si>
  <si>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</si>
  <si>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</si>
  <si>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</si>
  <si>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</si>
  <si>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</si>
  <si>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</si>
  <si>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</si>
  <si>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Area necessaria</t>
  </si>
  <si>
    <t>bw</t>
  </si>
  <si>
    <t>estribo</t>
  </si>
  <si>
    <t>cobrimento</t>
  </si>
  <si>
    <t>cm²</t>
  </si>
  <si>
    <t>cm</t>
  </si>
  <si>
    <t>mm</t>
  </si>
  <si>
    <t>espacamento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</si>
</sst>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8:J43"/>
  <sheetViews>
    <sheetView tabSelected="1" topLeftCell="A10" workbookViewId="0">
      <selection activeCell="D11" sqref="D11"/>
    </sheetView>
  </sheetViews>
  <sheetFormatPr defaultColWidth="11" defaultRowHeight="15.6" x14ac:dyDescent="0.3"/>
  <cols>
    <col min="3" max="3" width="14.09765625" bestFit="1" customWidth="1"/>
    <col min="4" max="4" width="15.8984375" customWidth="1"/>
    <col min="7" max="7" width="10.796875" customWidth="1"/>
  </cols>
  <sheetData>
    <row r="8" spans="3:8" x14ac:dyDescent="0.3">
      <c r="G8" t="str" cm="1">
        <f t="array" ref="G8:H16">aco_opcoes(D10)</f>
        <v>Bitola</v>
      </c>
      <c r="H8" t="str">
        <v>Quantidade</v>
      </c>
    </row>
    <row r="9" spans="3:8" x14ac:dyDescent="0.3">
      <c r="G9">
        <v>5</v>
      </c>
      <c r="H9">
        <v>16</v>
      </c>
    </row>
    <row r="10" spans="3:8" x14ac:dyDescent="0.3">
      <c r="C10" t="s">
        <v>14</v>
      </c>
      <c r="D10">
        <v>3</v>
      </c>
      <c r="E10" t="s">
        <v>18</v>
      </c>
      <c r="G10">
        <v>6.3</v>
      </c>
      <c r="H10">
        <v>10</v>
      </c>
    </row>
    <row r="11" spans="3:8" x14ac:dyDescent="0.3">
      <c r="C11" t="s">
        <v>15</v>
      </c>
      <c r="D11">
        <v>30</v>
      </c>
      <c r="E11" t="s">
        <v>19</v>
      </c>
      <c r="G11">
        <v>8</v>
      </c>
      <c r="H11">
        <v>6</v>
      </c>
    </row>
    <row r="12" spans="3:8" x14ac:dyDescent="0.3">
      <c r="C12" t="s">
        <v>16</v>
      </c>
      <c r="D12">
        <v>6.3</v>
      </c>
      <c r="E12" t="s">
        <v>20</v>
      </c>
      <c r="G12">
        <v>10</v>
      </c>
      <c r="H12">
        <v>4</v>
      </c>
    </row>
    <row r="13" spans="3:8" x14ac:dyDescent="0.3">
      <c r="C13" t="s">
        <v>17</v>
      </c>
      <c r="D13">
        <v>3</v>
      </c>
      <c r="E13" t="s">
        <v>19</v>
      </c>
      <c r="G13">
        <v>12.5</v>
      </c>
      <c r="H13">
        <v>3</v>
      </c>
    </row>
    <row r="14" spans="3:8" x14ac:dyDescent="0.3">
      <c r="C14" t="s">
        <v>21</v>
      </c>
      <c r="D14">
        <v>2</v>
      </c>
      <c r="E14" t="s">
        <v>19</v>
      </c>
      <c r="G14">
        <v>16</v>
      </c>
      <c r="H14">
        <v>2</v>
      </c>
    </row>
    <row r="15" spans="3:8" x14ac:dyDescent="0.3">
      <c r="G15">
        <v>20</v>
      </c>
      <c r="H15">
        <v>1</v>
      </c>
    </row>
    <row r="16" spans="3:8" x14ac:dyDescent="0.3">
      <c r="G16">
        <v>25</v>
      </c>
      <c r="H16">
        <v>1</v>
      </c>
    </row>
    <row r="19" spans="3:10" x14ac:dyDescent="0.3">
      <c r="G19" cm="1">
        <f t="array" ref="G19:J24">opcoes_por_bitola(D10,D11,D13,D12)</f>
        <v>8</v>
      </c>
      <c r="H19">
        <v>6</v>
      </c>
      <c r="I19">
        <v>3.0159289474462017</v>
      </c>
      <c r="J19">
        <v>3.5879999999999996</v>
      </c>
    </row>
    <row r="20" spans="3:10" x14ac:dyDescent="0.3">
      <c r="G20">
        <v>10</v>
      </c>
      <c r="H20">
        <v>4</v>
      </c>
      <c r="I20">
        <v>3.1415926535897931</v>
      </c>
      <c r="J20">
        <v>6.2466666666666661</v>
      </c>
    </row>
    <row r="21" spans="3:10" x14ac:dyDescent="0.3">
      <c r="G21">
        <v>12.5</v>
      </c>
      <c r="H21">
        <v>3</v>
      </c>
      <c r="I21">
        <v>3.6815538909255388</v>
      </c>
      <c r="J21">
        <v>9.4949999999999992</v>
      </c>
    </row>
    <row r="22" spans="3:10" x14ac:dyDescent="0.3">
      <c r="G22">
        <v>16</v>
      </c>
      <c r="H22">
        <v>2</v>
      </c>
      <c r="I22">
        <v>4.0212385965949355</v>
      </c>
      <c r="J22">
        <v>19.54</v>
      </c>
    </row>
    <row r="23" spans="3:10" x14ac:dyDescent="0.3">
      <c r="G23">
        <v>20</v>
      </c>
      <c r="H23">
        <v>2</v>
      </c>
      <c r="I23">
        <v>6.2831853071795862</v>
      </c>
      <c r="J23">
        <v>18.739999999999998</v>
      </c>
    </row>
    <row r="24" spans="3:10" x14ac:dyDescent="0.3">
      <c r="G24">
        <v>25</v>
      </c>
      <c r="H24">
        <v>2</v>
      </c>
      <c r="I24">
        <v>9.8174770424681039</v>
      </c>
      <c r="J24">
        <v>17.739999999999998</v>
      </c>
    </row>
    <row r="26" spans="3:10" x14ac:dyDescent="0.3">
      <c r="C26" t="str" cm="1">
        <f t="array" ref="C26:F43">combinacoes_bitola(D10,D11,D13,D12)</f>
        <v>Bitola</v>
      </c>
      <c r="D26" t="str">
        <v>Quantidade</v>
      </c>
      <c r="E26" t="str">
        <v>Area cm2</v>
      </c>
      <c r="F26" t="str">
        <v>diff</v>
      </c>
    </row>
    <row r="27" spans="3:10" x14ac:dyDescent="0.3">
      <c r="C27">
        <v>25</v>
      </c>
      <c r="D27">
        <v>2</v>
      </c>
      <c r="E27">
        <v>9.8174770424681039</v>
      </c>
      <c r="F27">
        <v>-6.8174770424681039</v>
      </c>
    </row>
    <row r="28" spans="3:10" x14ac:dyDescent="0.3">
      <c r="C28">
        <v>20</v>
      </c>
      <c r="D28">
        <v>2</v>
      </c>
      <c r="E28">
        <v>6.2831853071795862</v>
      </c>
      <c r="F28">
        <v>-3.2831853071795862</v>
      </c>
    </row>
    <row r="29" spans="3:10" x14ac:dyDescent="0.3">
      <c r="C29">
        <v>16</v>
      </c>
      <c r="D29">
        <v>2</v>
      </c>
      <c r="E29">
        <v>4.0212385965949355</v>
      </c>
      <c r="F29">
        <v>-1.0212385965949355</v>
      </c>
    </row>
    <row r="30" spans="3:10" x14ac:dyDescent="0.3">
      <c r="C30">
        <v>12.5</v>
      </c>
      <c r="D30">
        <v>2</v>
      </c>
      <c r="E30">
        <v>2.454369260617026</v>
      </c>
      <c r="F30">
        <v>0.54563073938297402</v>
      </c>
    </row>
    <row r="31" spans="3:10" x14ac:dyDescent="0.3">
      <c r="C31" t="str">
        <v>6.3_sup</v>
      </c>
      <c r="D31">
        <v>2</v>
      </c>
      <c r="E31">
        <v>0.62344906210489437</v>
      </c>
      <c r="F31">
        <v>0.54563073938297402</v>
      </c>
    </row>
    <row r="32" spans="3:10" x14ac:dyDescent="0.3">
      <c r="C32" t="str">
        <v>8_sup</v>
      </c>
      <c r="D32">
        <v>2</v>
      </c>
      <c r="E32">
        <v>1.0053096491487339</v>
      </c>
      <c r="F32">
        <v>0.54563073938297402</v>
      </c>
    </row>
    <row r="33" spans="3:6" x14ac:dyDescent="0.3">
      <c r="C33" t="str">
        <v>10_sup</v>
      </c>
      <c r="D33">
        <v>1</v>
      </c>
      <c r="E33">
        <v>0.78539816339744828</v>
      </c>
      <c r="F33">
        <v>0.54563073938297402</v>
      </c>
    </row>
    <row r="34" spans="3:6" x14ac:dyDescent="0.3">
      <c r="C34" t="str">
        <v>12.5_sup</v>
      </c>
      <c r="D34">
        <v>1</v>
      </c>
      <c r="E34">
        <v>1.227184630308513</v>
      </c>
      <c r="F34">
        <v>0.54563073938297402</v>
      </c>
    </row>
    <row r="35" spans="3:6" x14ac:dyDescent="0.3">
      <c r="C35">
        <v>10</v>
      </c>
      <c r="D35">
        <v>2</v>
      </c>
      <c r="E35">
        <v>1.5707963267948966</v>
      </c>
      <c r="F35">
        <v>1.4292036732051034</v>
      </c>
    </row>
    <row r="36" spans="3:6" x14ac:dyDescent="0.3">
      <c r="C36" t="str">
        <v>6.3_sup</v>
      </c>
      <c r="D36">
        <v>5</v>
      </c>
      <c r="E36">
        <v>1.558622655262236</v>
      </c>
      <c r="F36">
        <v>1.4292036732051034</v>
      </c>
    </row>
    <row r="37" spans="3:6" x14ac:dyDescent="0.3">
      <c r="C37" t="str">
        <v>8_sup</v>
      </c>
      <c r="D37">
        <v>3</v>
      </c>
      <c r="E37">
        <v>1.5079644737231008</v>
      </c>
      <c r="F37">
        <v>1.4292036732051034</v>
      </c>
    </row>
    <row r="38" spans="3:6" x14ac:dyDescent="0.3">
      <c r="C38" t="str">
        <v>10_sup</v>
      </c>
      <c r="D38">
        <v>2</v>
      </c>
      <c r="E38">
        <v>1.5707963267948966</v>
      </c>
      <c r="F38">
        <v>1.4292036732051034</v>
      </c>
    </row>
    <row r="39" spans="3:6" x14ac:dyDescent="0.3">
      <c r="C39">
        <v>8</v>
      </c>
      <c r="D39">
        <v>2</v>
      </c>
      <c r="E39">
        <v>1.0053096491487339</v>
      </c>
      <c r="F39">
        <v>1.9946903508512661</v>
      </c>
    </row>
    <row r="40" spans="3:6" x14ac:dyDescent="0.3">
      <c r="C40" t="str">
        <v>6.3_sup</v>
      </c>
      <c r="D40">
        <v>7</v>
      </c>
      <c r="E40">
        <v>2.1820717173671302</v>
      </c>
      <c r="F40">
        <v>1.9946903508512661</v>
      </c>
    </row>
    <row r="41" spans="3:6" x14ac:dyDescent="0.3">
      <c r="C41" t="str">
        <v>8_sup</v>
      </c>
      <c r="D41">
        <v>4</v>
      </c>
      <c r="E41">
        <v>2.0106192982974678</v>
      </c>
      <c r="F41">
        <v>1.9946903508512661</v>
      </c>
    </row>
    <row r="42" spans="3:6" x14ac:dyDescent="0.3">
      <c r="C42">
        <v>6.3</v>
      </c>
      <c r="D42">
        <v>2</v>
      </c>
      <c r="E42">
        <v>0.62344906210489437</v>
      </c>
      <c r="F42">
        <v>2.3765509378951055</v>
      </c>
    </row>
    <row r="43" spans="3:6" x14ac:dyDescent="0.3">
      <c r="C43" t="str">
        <v>6.3_sup</v>
      </c>
      <c r="D43">
        <v>8</v>
      </c>
      <c r="E43">
        <v>2.4937962484195775</v>
      </c>
      <c r="F43">
        <v>2.3765509378951055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9" sqref="B9"/>
    </sheetView>
  </sheetViews>
  <sheetFormatPr defaultColWidth="8.8984375" defaultRowHeight="15.6" x14ac:dyDescent="0.3"/>
  <cols>
    <col min="1" max="1" width="13.5" style="1" bestFit="1" customWidth="1"/>
    <col min="2" max="2" width="9.19921875" style="1" customWidth="1"/>
    <col min="3" max="16384" width="8.8984375" style="1"/>
  </cols>
  <sheetData>
    <row r="1" spans="1:2" x14ac:dyDescent="0.3">
      <c r="A1" s="1" t="s">
        <v>0</v>
      </c>
      <c r="B1" s="1" t="s">
        <v>6</v>
      </c>
    </row>
    <row r="2" spans="1:2" x14ac:dyDescent="0.3">
      <c r="A2" s="1" t="s">
        <v>1</v>
      </c>
    </row>
    <row r="3" spans="1:2" x14ac:dyDescent="0.3">
      <c r="A3" s="1" t="s">
        <v>9</v>
      </c>
    </row>
    <row r="4" spans="1:2" x14ac:dyDescent="0.3">
      <c r="A4" s="1" t="s">
        <v>10</v>
      </c>
    </row>
    <row r="5" spans="1:2" x14ac:dyDescent="0.3">
      <c r="A5" s="1" t="s">
        <v>2</v>
      </c>
    </row>
    <row r="6" spans="1:2" x14ac:dyDescent="0.3">
      <c r="A6" s="1" t="s">
        <v>3</v>
      </c>
      <c r="B6" s="1" t="b">
        <v>0</v>
      </c>
    </row>
    <row r="7" spans="1:2" x14ac:dyDescent="0.3">
      <c r="A7" s="1" t="s">
        <v>4</v>
      </c>
    </row>
    <row r="8" spans="1:2" x14ac:dyDescent="0.3">
      <c r="A8" s="1" t="s">
        <v>5</v>
      </c>
      <c r="B8" s="1" t="b">
        <v>1</v>
      </c>
    </row>
    <row r="13" spans="1:2" x14ac:dyDescent="0.3">
      <c r="A13" s="2" t="s">
        <v>7</v>
      </c>
    </row>
    <row r="14" spans="1:2" x14ac:dyDescent="0.3">
      <c r="A14" s="1" t="s">
        <v>11</v>
      </c>
    </row>
    <row r="15" spans="1:2" x14ac:dyDescent="0.3">
      <c r="A15" s="1" t="s">
        <v>12</v>
      </c>
    </row>
    <row r="16" spans="1:2" x14ac:dyDescent="0.3">
      <c r="A16" s="1" t="s">
        <v>8</v>
      </c>
    </row>
    <row r="17" spans="1:1" x14ac:dyDescent="0.3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2021-09-08T00:23:23Z</dcterms:modified>
</cp:coreProperties>
</file>