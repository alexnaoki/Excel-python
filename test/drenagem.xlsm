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git\Excel-python\test\"/>
    </mc:Choice>
  </mc:AlternateContent>
  <xr:revisionPtr revIDLastSave="0" documentId="13_ncr:1_{0780034D-7130-4444-9C85-D33D2156D57C}" xr6:coauthVersionLast="47" xr6:coauthVersionMax="47" xr10:uidLastSave="{00000000-0000-0000-0000-000000000000}"/>
  <bookViews>
    <workbookView xWindow="36960" yWindow="390" windowWidth="18660" windowHeight="7170" tabRatio="500" xr2:uid="{00000000-000D-0000-FFFF-FFFF00000000}"/>
  </bookViews>
  <sheets>
    <sheet name="Sheet1" sheetId="1" r:id="rId1"/>
    <sheet name="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aa">
          <x14:argumentDescriptions count="1">
            <x14:argumentDescription index="0">Positional argument 1</x14:argumentDescription>
          </x14:argumentDescriptions>
        </x14:definedName>
        <x14:definedName name="aco_opcoes">
          <x14:argumentDescriptions count="1">
            <x14:argumentDescription index="0">Positional argument 1</x14:argumentDescription>
          </x14:argumentDescriptions>
        </x14:definedName>
        <x14:definedName name="area_aco">
          <x14:argumentDescriptions count="1">
            <x14:argumentDescription index="0">Positional argument 1</x14:argumentDescription>
          </x14:argumentDescriptions>
        </x14:definedName>
        <x14:definedName name="check_dimensonament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binacoes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caller_address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odo_raciona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yfunct">
          <x14:argumentDescriptions count="1">
            <x14:argumentDescription index="0">Positional argument 1</x14:argumentDescription>
          </x14:argumentDescriptions>
        </x14:definedName>
        <x14:definedName name="opcoes_por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este">
          <x14:argumentDescriptions count="1">
            <x14:argumentDescription index="0">Positional argument 1</x14:argumentDescription>
          </x14:argumentDescriptions>
        </x14:definedName>
        <x14:definedName name="vazao_acumulad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vazao_tubo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7" i="1" l="1"/>
  <c r="J8" i="1" a="1"/>
  <c r="N8" i="1" a="1"/>
  <c r="N8" i="1"/>
  <c r="I8" i="1"/>
  <c r="J8" i="1"/>
  <c r="I9" i="1"/>
  <c r="J9" i="1" a="1"/>
  <c r="J9" i="1"/>
  <c r="D9" i="1" a="1"/>
  <c r="D9" i="1"/>
  <c r="N9" i="1" a="1"/>
  <c r="N9" i="1"/>
  <c r="I10" i="1"/>
  <c r="J10" i="1" a="1"/>
  <c r="J10" i="1"/>
  <c r="D10" i="1" a="1"/>
  <c r="D10" i="1"/>
  <c r="N10" i="1" a="1"/>
  <c r="N10" i="1"/>
  <c r="I11" i="1"/>
  <c r="J11" i="1" a="1"/>
  <c r="J11" i="1"/>
  <c r="D11" i="1" a="1"/>
  <c r="D11" i="1"/>
  <c r="N11" i="1" a="1"/>
  <c r="N11" i="1"/>
  <c r="I12" i="1"/>
  <c r="J12" i="1" a="1"/>
  <c r="J12" i="1"/>
  <c r="D12" i="1" a="1"/>
  <c r="D12" i="1"/>
  <c r="N12" i="1" a="1"/>
  <c r="N12" i="1"/>
  <c r="E12" i="1" a="1"/>
  <c r="E12" i="1"/>
  <c r="E10" i="1" a="1"/>
  <c r="E10" i="1"/>
  <c r="E11" i="1" a="1"/>
  <c r="E11" i="1"/>
  <c r="D7" i="1" a="1"/>
  <c r="D7" i="1"/>
  <c r="E7" i="1" a="1"/>
  <c r="E7" i="1"/>
  <c r="D8" i="1" a="1"/>
  <c r="D8" i="1"/>
  <c r="E8" i="1" a="1"/>
  <c r="E8" i="1"/>
  <c r="E9" i="1" a="1"/>
  <c r="E9" i="1"/>
  <c r="J7" i="1" a="1"/>
  <c r="J7" i="1"/>
  <c r="N7" i="1" a="1"/>
  <c r="N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<sst xmlns="http://schemas.openxmlformats.org/spreadsheetml/2006/main" count="41" uniqueCount="36">
  <si>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</si>
  <si>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</si>
  <si>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</si>
  <si>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</si>
  <si>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</si>
  <si>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</si>
  <si>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</si>
  <si>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</si>
  <si>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</si>
  <si>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</si>
  <si>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</si>
  <si>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</si>
  <si>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</si>
  <si>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</si>
  <si>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Seção</t>
  </si>
  <si>
    <t>Diametro (mm)</t>
  </si>
  <si>
    <t xml:space="preserve">Limite lâmina </t>
  </si>
  <si>
    <t>n</t>
  </si>
  <si>
    <t>area</t>
  </si>
  <si>
    <t>rh</t>
  </si>
  <si>
    <t>Q (m3/s)</t>
  </si>
  <si>
    <t>v (m/s)</t>
  </si>
  <si>
    <t>inclinacao(m/m)</t>
  </si>
  <si>
    <t>C</t>
  </si>
  <si>
    <t>i (mm/h)</t>
  </si>
  <si>
    <t>Q_entrada (m3/s)</t>
  </si>
  <si>
    <t>A_eff (m2)</t>
  </si>
  <si>
    <t>Próxima Seção</t>
  </si>
  <si>
    <t>1A</t>
  </si>
  <si>
    <t>2A</t>
  </si>
  <si>
    <t>Q_acumulada (m3/s)</t>
  </si>
  <si>
    <t>3A</t>
  </si>
  <si>
    <t>4A</t>
  </si>
  <si>
    <t>5B</t>
  </si>
  <si>
    <t>6B</t>
  </si>
  <si>
    <t>7C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</si>
</sst>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12"/>
  <sheetViews>
    <sheetView tabSelected="1" workbookViewId="0">
      <selection activeCell="E17" sqref="E17"/>
    </sheetView>
  </sheetViews>
  <sheetFormatPr defaultColWidth="11" defaultRowHeight="15.6" x14ac:dyDescent="0.3"/>
  <cols>
    <col min="2" max="2" width="9.09765625" customWidth="1"/>
    <col min="3" max="3" width="7.296875" customWidth="1"/>
    <col min="4" max="4" width="13.296875" customWidth="1"/>
    <col min="5" max="5" width="12.296875" customWidth="1"/>
    <col min="6" max="6" width="7.796875" customWidth="1"/>
    <col min="7" max="7" width="6.3984375" customWidth="1"/>
    <col min="8" max="8" width="10.19921875" customWidth="1"/>
    <col min="9" max="9" width="9.296875" customWidth="1"/>
    <col min="10" max="10" width="6.796875" customWidth="1"/>
    <col min="11" max="11" width="8.796875" customWidth="1"/>
    <col min="12" max="12" width="8.5" customWidth="1"/>
  </cols>
  <sheetData>
    <row r="2" spans="1:14" x14ac:dyDescent="0.3">
      <c r="B2" t="s">
        <v>23</v>
      </c>
      <c r="C2">
        <v>0.9</v>
      </c>
    </row>
    <row r="3" spans="1:14" x14ac:dyDescent="0.3">
      <c r="B3" t="s">
        <v>24</v>
      </c>
      <c r="C3">
        <v>200</v>
      </c>
    </row>
    <row r="6" spans="1:14" s="3" customFormat="1" ht="46.8" x14ac:dyDescent="0.3">
      <c r="A6" s="3" t="s">
        <v>14</v>
      </c>
      <c r="B6" s="3" t="s">
        <v>27</v>
      </c>
      <c r="C6" s="3" t="s">
        <v>26</v>
      </c>
      <c r="D6" s="3" t="s">
        <v>25</v>
      </c>
      <c r="E6" s="3" t="s">
        <v>30</v>
      </c>
      <c r="F6" s="3" t="s">
        <v>15</v>
      </c>
      <c r="G6" s="3" t="s">
        <v>16</v>
      </c>
      <c r="H6" s="3" t="s">
        <v>17</v>
      </c>
      <c r="I6" s="3" t="s">
        <v>22</v>
      </c>
      <c r="J6" s="3" t="s">
        <v>18</v>
      </c>
      <c r="K6" s="3" t="s">
        <v>19</v>
      </c>
      <c r="L6" s="3" t="s">
        <v>21</v>
      </c>
      <c r="M6" s="3" t="s">
        <v>20</v>
      </c>
    </row>
    <row r="7" spans="1:14" x14ac:dyDescent="0.3">
      <c r="A7" t="s">
        <v>28</v>
      </c>
      <c r="B7" t="s">
        <v>29</v>
      </c>
      <c r="C7">
        <v>600</v>
      </c>
      <c r="D7" cm="1">
        <f t="array" ref="D7">metodo_racional($C$2,$C$3,C7)</f>
        <v>3.0000000000000002E-2</v>
      </c>
      <c r="E7" cm="1">
        <f t="array" aca="1" ref="E7" ca="1">vazao_acumulada(D7,A7,$B$1:$B$22)</f>
        <v>0.28000000000000008</v>
      </c>
      <c r="F7">
        <v>800</v>
      </c>
      <c r="G7">
        <v>0.75</v>
      </c>
      <c r="H7">
        <v>1.2999999999999999E-2</v>
      </c>
      <c r="I7">
        <f>0.5/100</f>
        <v>5.0000000000000001E-3</v>
      </c>
      <c r="J7" cm="1">
        <f t="array" ref="J7:M7">vazao_tubo(F7,G7,H7,I7)</f>
        <v>0.40438524868566644</v>
      </c>
      <c r="K7">
        <v>0.24134966715663442</v>
      </c>
      <c r="L7">
        <v>2.1084960221028664</v>
      </c>
      <c r="M7">
        <v>0.85264468825080608</v>
      </c>
      <c r="N7" t="str" cm="1">
        <f t="array" ref="N7">check_dimensonamento(M7,D7)</f>
        <v>OK</v>
      </c>
    </row>
    <row r="8" spans="1:14" x14ac:dyDescent="0.3">
      <c r="A8" t="s">
        <v>29</v>
      </c>
      <c r="B8" t="s">
        <v>31</v>
      </c>
      <c r="C8">
        <v>5000</v>
      </c>
      <c r="D8" cm="1">
        <f t="array" ref="D8">metodo_racional($C$2,$C$3,C8)</f>
        <v>0.25000000000000006</v>
      </c>
      <c r="E8" cm="1">
        <f t="array" aca="1" ref="E8" ca="1">vazao_acumulada(D8,A8,$B$1:$B$22)</f>
        <v>0.88000000000000023</v>
      </c>
      <c r="F8">
        <v>800</v>
      </c>
      <c r="G8">
        <v>0.75</v>
      </c>
      <c r="H8">
        <v>1.2999999999999999E-2</v>
      </c>
      <c r="I8">
        <f t="shared" ref="I8:I12" si="0">0.5/100</f>
        <v>5.0000000000000001E-3</v>
      </c>
      <c r="J8" cm="1">
        <f t="array" ref="J8:M8">vazao_tubo(F8,G8,H8,I8)</f>
        <v>0.40438524868566644</v>
      </c>
      <c r="K8">
        <v>0.24134966715663442</v>
      </c>
      <c r="L8">
        <v>2.1084960221028664</v>
      </c>
      <c r="M8">
        <v>0.85264468825080608</v>
      </c>
      <c r="N8" t="str" cm="1">
        <f t="array" ref="N8">check_dimensonamento(M8,D8)</f>
        <v>OK</v>
      </c>
    </row>
    <row r="9" spans="1:14" x14ac:dyDescent="0.3">
      <c r="A9" t="s">
        <v>31</v>
      </c>
      <c r="B9" t="s">
        <v>32</v>
      </c>
      <c r="C9">
        <v>6000</v>
      </c>
      <c r="D9" cm="1">
        <f t="array" ref="D9">metodo_racional($C$2,$C$3,C9)</f>
        <v>0.30000000000000004</v>
      </c>
      <c r="E9" cm="1">
        <f t="array" aca="1" ref="E9" ca="1">vazao_acumulada(D9,A9,$B$1:$B$22)</f>
        <v>1.1800000000000002</v>
      </c>
      <c r="F9">
        <v>800</v>
      </c>
      <c r="G9">
        <v>0.75</v>
      </c>
      <c r="H9">
        <v>1.2999999999999999E-2</v>
      </c>
      <c r="I9">
        <f t="shared" si="0"/>
        <v>5.0000000000000001E-3</v>
      </c>
      <c r="J9" cm="1">
        <f t="array" ref="J9:M9">vazao_tubo(F9,G9,H9,I9)</f>
        <v>0.40438524868566644</v>
      </c>
      <c r="K9">
        <v>0.24134966715663442</v>
      </c>
      <c r="L9">
        <v>2.1084960221028664</v>
      </c>
      <c r="M9">
        <v>0.85264468825080608</v>
      </c>
      <c r="N9" t="str" cm="1">
        <f t="array" ref="N9">check_dimensonamento(M9,D9)</f>
        <v>OK</v>
      </c>
    </row>
    <row r="10" spans="1:14" x14ac:dyDescent="0.3">
      <c r="A10" t="s">
        <v>33</v>
      </c>
      <c r="B10" t="s">
        <v>34</v>
      </c>
      <c r="C10">
        <v>2000</v>
      </c>
      <c r="D10" cm="1">
        <f t="array" ref="D10">metodo_racional($C$2,$C$3,C10)</f>
        <v>0.1</v>
      </c>
      <c r="E10" cm="1">
        <f t="array" aca="1" ref="E10" ca="1">vazao_acumulada(D10,A10,$B$1:$B$22)</f>
        <v>0.1</v>
      </c>
      <c r="F10">
        <v>800</v>
      </c>
      <c r="G10">
        <v>0.75</v>
      </c>
      <c r="H10">
        <v>1.2999999999999999E-2</v>
      </c>
      <c r="I10">
        <f t="shared" si="0"/>
        <v>5.0000000000000001E-3</v>
      </c>
      <c r="J10" cm="1">
        <f t="array" ref="J10:M10">vazao_tubo(F10,G10,H10,I10)</f>
        <v>0.40438524868566644</v>
      </c>
      <c r="K10">
        <v>0.24134966715663442</v>
      </c>
      <c r="L10">
        <v>2.1084960221028664</v>
      </c>
      <c r="M10">
        <v>0.85264468825080608</v>
      </c>
      <c r="N10" t="str" cm="1">
        <f t="array" ref="N10">check_dimensonamento(M10,D10)</f>
        <v>OK</v>
      </c>
    </row>
    <row r="11" spans="1:14" x14ac:dyDescent="0.3">
      <c r="A11" t="s">
        <v>34</v>
      </c>
      <c r="B11" t="s">
        <v>29</v>
      </c>
      <c r="C11">
        <v>5000</v>
      </c>
      <c r="D11" cm="1">
        <f t="array" ref="D11">metodo_racional($C$2,$C$3,C11)</f>
        <v>0.25000000000000006</v>
      </c>
      <c r="E11" cm="1">
        <f t="array" aca="1" ref="E11" ca="1">vazao_acumulada(D11,A11,$B$1:$B$22)</f>
        <v>0.35000000000000009</v>
      </c>
      <c r="F11">
        <v>800</v>
      </c>
      <c r="G11">
        <v>0.75</v>
      </c>
      <c r="H11">
        <v>1.2999999999999999E-2</v>
      </c>
      <c r="I11">
        <f t="shared" si="0"/>
        <v>5.0000000000000001E-3</v>
      </c>
      <c r="J11" cm="1">
        <f t="array" ref="J11:M11">vazao_tubo(F11,G11,H11,I11)</f>
        <v>0.40438524868566644</v>
      </c>
      <c r="K11">
        <v>0.24134966715663442</v>
      </c>
      <c r="L11">
        <v>2.1084960221028664</v>
      </c>
      <c r="M11">
        <v>0.85264468825080608</v>
      </c>
      <c r="N11" t="str" cm="1">
        <f t="array" ref="N11">check_dimensonamento(M11,D11)</f>
        <v>OK</v>
      </c>
    </row>
    <row r="12" spans="1:14" x14ac:dyDescent="0.3">
      <c r="A12" t="s">
        <v>35</v>
      </c>
      <c r="B12" t="s">
        <v>28</v>
      </c>
      <c r="C12">
        <v>5000</v>
      </c>
      <c r="D12" cm="1">
        <f t="array" ref="D12">metodo_racional($C$2,$C$3,C12)</f>
        <v>0.25000000000000006</v>
      </c>
      <c r="E12" cm="1">
        <f t="array" aca="1" ref="E12" ca="1">vazao_acumulada(D12,A12,$B$1:$B$22)</f>
        <v>0.25000000000000006</v>
      </c>
      <c r="F12">
        <v>800</v>
      </c>
      <c r="G12">
        <v>0.75</v>
      </c>
      <c r="H12">
        <v>1.2999999999999999E-2</v>
      </c>
      <c r="I12">
        <f t="shared" si="0"/>
        <v>5.0000000000000001E-3</v>
      </c>
      <c r="J12" cm="1">
        <f t="array" ref="J12:M12">vazao_tubo(F12,G12,H12,I12)</f>
        <v>0.40438524868566644</v>
      </c>
      <c r="K12">
        <v>0.24134966715663442</v>
      </c>
      <c r="L12">
        <v>2.1084960221028664</v>
      </c>
      <c r="M12">
        <v>0.85264468825080608</v>
      </c>
      <c r="N12" t="str" cm="1">
        <f t="array" ref="N12">check_dimensonamento(M12,D12)</f>
        <v>OK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9" sqref="B9"/>
    </sheetView>
  </sheetViews>
  <sheetFormatPr defaultColWidth="8.8984375" defaultRowHeight="15.6" x14ac:dyDescent="0.3"/>
  <cols>
    <col min="1" max="1" width="13.5" style="1" bestFit="1" customWidth="1"/>
    <col min="2" max="2" width="9.1992187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1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2021-09-13T00:34:18Z</dcterms:modified>
</cp:coreProperties>
</file>