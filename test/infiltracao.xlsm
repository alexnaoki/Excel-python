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3BB6F85F-0624-4B39-AB56-3102D4090744}" xr6:coauthVersionLast="47" xr6:coauthVersionMax="47" xr10:uidLastSave="{00000000-0000-0000-0000-000000000000}"/>
  <bookViews>
    <workbookView xWindow="28875" yWindow="630" windowWidth="18150" windowHeight="906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lternar_bloco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area_baci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area_bacia_retangu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heck_dimensonament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ef_atrit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onvert_to_idfTab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imensionar">
          <x14:argumentDescriptions count="1">
            <x14:argumentDescription index="0">Positional argument 1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df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etodo_blocos_alternado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metodo_racion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todo_scs_c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carg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localizad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ecipitacao_blocosAlternado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reDimensionamento">
          <x14:argumentDescriptions count="1">
            <x14:argumentDescription index="0">Positional argument 1</x14:argumentDescription>
          </x14:argumentDescriptions>
        </x14:definedName>
        <x14:definedName name="split_and_join">
          <x14:argumentDescriptions count="1">
            <x14:argumentDescription index="0">Positional argument 1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  <x14:definedName name="testes">
          <x14:argumentDescriptions count="1">
            <x14:argumentDescription index="0">Positional argument 1</x14:argumentDescription>
          </x14:argumentDescriptions>
        </x14:definedName>
        <x14:definedName name="vazao_acumulad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vazao_tub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1" l="1" a="1"/>
  <c r="B20" i="1"/>
  <c r="C20" i="1"/>
  <c r="D20" i="1"/>
  <c r="E20" i="1"/>
  <c r="F20" i="1"/>
  <c r="G20" i="1"/>
  <c r="H20" i="1"/>
  <c r="B21" i="1"/>
  <c r="C21" i="1"/>
  <c r="D21" i="1"/>
  <c r="E21" i="1"/>
  <c r="F21" i="1"/>
  <c r="G21" i="1"/>
  <c r="H21" i="1"/>
  <c r="B22" i="1"/>
  <c r="C22" i="1"/>
  <c r="D22" i="1"/>
  <c r="E22" i="1"/>
  <c r="F22" i="1"/>
  <c r="G22" i="1"/>
  <c r="H22" i="1"/>
  <c r="B23" i="1"/>
  <c r="C23" i="1"/>
  <c r="D23" i="1"/>
  <c r="E23" i="1"/>
  <c r="F23" i="1"/>
  <c r="G23" i="1"/>
  <c r="H23" i="1"/>
  <c r="B24" i="1"/>
  <c r="C24" i="1"/>
  <c r="D24" i="1"/>
  <c r="E24" i="1"/>
  <c r="F24" i="1"/>
  <c r="G24" i="1"/>
  <c r="H24" i="1"/>
  <c r="B25" i="1"/>
  <c r="C25" i="1"/>
  <c r="D25" i="1"/>
  <c r="E25" i="1"/>
  <c r="F25" i="1"/>
  <c r="G25" i="1"/>
  <c r="H25" i="1"/>
  <c r="B26" i="1"/>
  <c r="C26" i="1"/>
  <c r="D26" i="1"/>
  <c r="E26" i="1"/>
  <c r="F26" i="1"/>
  <c r="G26" i="1"/>
  <c r="H26" i="1"/>
  <c r="B27" i="1"/>
  <c r="C27" i="1"/>
  <c r="D27" i="1"/>
  <c r="E27" i="1"/>
  <c r="F27" i="1"/>
  <c r="G27" i="1"/>
  <c r="H27" i="1"/>
  <c r="B28" i="1"/>
  <c r="C28" i="1"/>
  <c r="D28" i="1"/>
  <c r="E28" i="1"/>
  <c r="F28" i="1"/>
  <c r="G28" i="1"/>
  <c r="H28" i="1"/>
  <c r="B29" i="1"/>
  <c r="C29" i="1"/>
  <c r="D29" i="1"/>
  <c r="E29" i="1"/>
  <c r="F29" i="1"/>
  <c r="G29" i="1"/>
  <c r="H29" i="1"/>
  <c r="B30" i="1"/>
  <c r="C30" i="1"/>
  <c r="D30" i="1"/>
  <c r="E30" i="1"/>
  <c r="F30" i="1"/>
  <c r="G30" i="1"/>
  <c r="H30" i="1"/>
  <c r="B31" i="1"/>
  <c r="C31" i="1"/>
  <c r="D31" i="1"/>
  <c r="E31" i="1"/>
  <c r="F31" i="1"/>
  <c r="G31" i="1"/>
  <c r="H31" i="1"/>
  <c r="B32" i="1"/>
  <c r="C32" i="1"/>
  <c r="D32" i="1"/>
  <c r="E32" i="1"/>
  <c r="F32" i="1"/>
  <c r="G32" i="1"/>
  <c r="H32" i="1"/>
  <c r="B33" i="1"/>
  <c r="C33" i="1"/>
  <c r="D33" i="1"/>
  <c r="E33" i="1"/>
  <c r="F33" i="1"/>
  <c r="G33" i="1"/>
  <c r="H33" i="1"/>
  <c r="B34" i="1"/>
  <c r="C34" i="1"/>
  <c r="D34" i="1"/>
  <c r="E34" i="1"/>
  <c r="F34" i="1"/>
  <c r="G34" i="1"/>
  <c r="H34" i="1"/>
  <c r="B35" i="1"/>
  <c r="C35" i="1"/>
  <c r="D35" i="1"/>
  <c r="E35" i="1"/>
  <c r="F35" i="1"/>
  <c r="G35" i="1"/>
  <c r="H35" i="1"/>
  <c r="B36" i="1"/>
  <c r="C36" i="1"/>
  <c r="D36" i="1"/>
  <c r="E36" i="1"/>
  <c r="F36" i="1"/>
  <c r="G36" i="1"/>
  <c r="H36" i="1"/>
  <c r="B37" i="1"/>
  <c r="C37" i="1"/>
  <c r="D37" i="1"/>
  <c r="E37" i="1"/>
  <c r="F37" i="1"/>
  <c r="G37" i="1"/>
  <c r="H37" i="1"/>
  <c r="B38" i="1"/>
  <c r="C38" i="1"/>
  <c r="D38" i="1"/>
  <c r="E38" i="1"/>
  <c r="F38" i="1"/>
  <c r="G38" i="1"/>
  <c r="H38" i="1"/>
  <c r="B39" i="1"/>
  <c r="C39" i="1"/>
  <c r="D39" i="1"/>
  <c r="E39" i="1"/>
  <c r="F39" i="1"/>
  <c r="G39" i="1"/>
  <c r="H39" i="1"/>
  <c r="I15" i="1" a="1"/>
  <c r="I15" i="1"/>
  <c r="F15" i="1"/>
  <c r="E13" i="1" a="1"/>
  <c r="E13" i="1"/>
  <c r="B12" i="1" a="1"/>
  <c r="B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<sst xmlns="http://schemas.openxmlformats.org/spreadsheetml/2006/main" count="50" uniqueCount="44">
  <si>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</si>
  <si>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</si>
  <si>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</si>
  <si>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</si>
  <si>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</si>
  <si>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</si>
  <si>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</si>
  <si>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</si>
  <si>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</si>
  <si>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</si>
  <si>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</si>
  <si>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</si>
  <si>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</si>
  <si>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</si>
  <si>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K</t>
  </si>
  <si>
    <t>Bacia de Infiltração</t>
  </si>
  <si>
    <t>a</t>
  </si>
  <si>
    <t>b</t>
  </si>
  <si>
    <t>m</t>
  </si>
  <si>
    <t>Cota topo</t>
  </si>
  <si>
    <t>Cota base</t>
  </si>
  <si>
    <t>Talude (H:V)</t>
  </si>
  <si>
    <t>Velocidade de infiltração</t>
  </si>
  <si>
    <t>mm/h</t>
  </si>
  <si>
    <t>c</t>
  </si>
  <si>
    <t>Tempo de retorno</t>
  </si>
  <si>
    <t>anos</t>
  </si>
  <si>
    <t xml:space="preserve">Duração chuva </t>
  </si>
  <si>
    <t>min</t>
  </si>
  <si>
    <t>Blocos Alternados</t>
  </si>
  <si>
    <t>CN</t>
  </si>
  <si>
    <t>Intensidade (mm/min)</t>
  </si>
  <si>
    <t>Chuva acumulada (mm)</t>
  </si>
  <si>
    <t>Duração (min)</t>
  </si>
  <si>
    <t>Incremento (mm)</t>
  </si>
  <si>
    <t>m²</t>
  </si>
  <si>
    <t>Areas</t>
  </si>
  <si>
    <t>Volumes</t>
  </si>
  <si>
    <t>dt</t>
  </si>
  <si>
    <t>Hietograma de projeto (mm)</t>
  </si>
  <si>
    <t>Peff (mm)</t>
  </si>
  <si>
    <t>area</t>
  </si>
  <si>
    <t>m2</t>
  </si>
  <si>
    <t>Volume 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</si>
</sst>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quotePrefix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39"/>
  <sheetViews>
    <sheetView tabSelected="1" topLeftCell="A7" workbookViewId="0">
      <selection activeCell="F11" sqref="F11"/>
    </sheetView>
  </sheetViews>
  <sheetFormatPr defaultColWidth="11" defaultRowHeight="15.6" x14ac:dyDescent="0.3"/>
  <cols>
    <col min="1" max="1" width="14" customWidth="1"/>
    <col min="2" max="2" width="12.3984375" bestFit="1" customWidth="1"/>
    <col min="3" max="3" width="10.8984375" customWidth="1"/>
    <col min="4" max="4" width="16" bestFit="1" customWidth="1"/>
    <col min="5" max="5" width="15.19921875" customWidth="1"/>
    <col min="6" max="6" width="20.19921875" bestFit="1" customWidth="1"/>
    <col min="7" max="7" width="10.3984375" customWidth="1"/>
    <col min="8" max="8" width="10.19921875" customWidth="1"/>
    <col min="9" max="9" width="9.296875" customWidth="1"/>
    <col min="10" max="10" width="6.796875" customWidth="1"/>
    <col min="11" max="11" width="8.796875" customWidth="1"/>
    <col min="12" max="12" width="8.5" customWidth="1"/>
  </cols>
  <sheetData>
    <row r="2" spans="1:11" x14ac:dyDescent="0.3">
      <c r="A2" t="s">
        <v>15</v>
      </c>
      <c r="E2" t="s">
        <v>22</v>
      </c>
      <c r="G2" t="s">
        <v>23</v>
      </c>
    </row>
    <row r="3" spans="1:11" x14ac:dyDescent="0.3">
      <c r="A3" t="s">
        <v>16</v>
      </c>
      <c r="B3">
        <v>50</v>
      </c>
      <c r="C3" t="s">
        <v>18</v>
      </c>
    </row>
    <row r="4" spans="1:11" x14ac:dyDescent="0.3">
      <c r="A4" t="s">
        <v>17</v>
      </c>
      <c r="B4">
        <v>80</v>
      </c>
      <c r="C4" t="s">
        <v>18</v>
      </c>
      <c r="E4" t="s">
        <v>14</v>
      </c>
      <c r="F4">
        <v>1007.36</v>
      </c>
    </row>
    <row r="5" spans="1:11" x14ac:dyDescent="0.3">
      <c r="A5" t="s">
        <v>19</v>
      </c>
      <c r="B5">
        <v>4.5</v>
      </c>
      <c r="C5" t="s">
        <v>18</v>
      </c>
      <c r="E5" t="s">
        <v>16</v>
      </c>
      <c r="F5">
        <v>0.107</v>
      </c>
    </row>
    <row r="6" spans="1:11" s="3" customFormat="1" x14ac:dyDescent="0.3">
      <c r="A6" s="3" t="s">
        <v>20</v>
      </c>
      <c r="B6" s="3">
        <v>1</v>
      </c>
      <c r="C6" s="3" t="s">
        <v>18</v>
      </c>
      <c r="E6" s="3" t="s">
        <v>17</v>
      </c>
      <c r="F6" s="3">
        <v>9.7931000000000008</v>
      </c>
    </row>
    <row r="7" spans="1:11" x14ac:dyDescent="0.3">
      <c r="A7" t="s">
        <v>21</v>
      </c>
      <c r="B7">
        <v>2</v>
      </c>
      <c r="E7" t="s">
        <v>24</v>
      </c>
      <c r="F7">
        <v>0.72430000000000005</v>
      </c>
    </row>
    <row r="8" spans="1:11" x14ac:dyDescent="0.3">
      <c r="C8" s="4"/>
      <c r="E8" t="s">
        <v>25</v>
      </c>
      <c r="F8">
        <v>50</v>
      </c>
      <c r="G8" t="s">
        <v>26</v>
      </c>
    </row>
    <row r="9" spans="1:11" x14ac:dyDescent="0.3">
      <c r="E9" t="s">
        <v>27</v>
      </c>
      <c r="F9">
        <v>500</v>
      </c>
      <c r="G9" t="s">
        <v>28</v>
      </c>
    </row>
    <row r="10" spans="1:11" x14ac:dyDescent="0.3">
      <c r="E10" t="s">
        <v>30</v>
      </c>
      <c r="F10">
        <v>100</v>
      </c>
    </row>
    <row r="11" spans="1:11" x14ac:dyDescent="0.3">
      <c r="E11" t="s">
        <v>38</v>
      </c>
      <c r="F11">
        <v>25</v>
      </c>
    </row>
    <row r="12" spans="1:11" x14ac:dyDescent="0.3">
      <c r="A12" t="s">
        <v>36</v>
      </c>
      <c r="B12" s="3" cm="1">
        <f t="array" ref="B12:C13">area_bacia_retangular(B3,B4,B5,B6,B7)</f>
        <v>4000</v>
      </c>
      <c r="C12">
        <v>2034.8218595248088</v>
      </c>
      <c r="E12" t="s">
        <v>41</v>
      </c>
      <c r="F12">
        <v>45000</v>
      </c>
      <c r="G12" t="s">
        <v>42</v>
      </c>
    </row>
    <row r="13" spans="1:11" x14ac:dyDescent="0.3">
      <c r="A13" t="s">
        <v>37</v>
      </c>
      <c r="B13">
        <v>14000</v>
      </c>
      <c r="C13">
        <v>3185</v>
      </c>
      <c r="E13" cm="1">
        <f t="array" ref="E13">idf(F4,F5,F6,F7,F8,F9)</f>
        <v>16.749777883219085</v>
      </c>
      <c r="F13" t="s">
        <v>23</v>
      </c>
    </row>
    <row r="15" spans="1:11" x14ac:dyDescent="0.3">
      <c r="F15">
        <f>250*100*2</f>
        <v>50000</v>
      </c>
      <c r="G15" t="s">
        <v>35</v>
      </c>
      <c r="I15" cm="1">
        <f t="array" ref="I15:K15">convert_to_idfTabot(F4,F5,F6,F7)</f>
        <v>1618.17980681421</v>
      </c>
      <c r="J15">
        <v>0.107</v>
      </c>
      <c r="K15">
        <v>20.9835398189852</v>
      </c>
    </row>
    <row r="18" spans="2:8" x14ac:dyDescent="0.3">
      <c r="B18" t="s">
        <v>29</v>
      </c>
    </row>
    <row r="19" spans="2:8" ht="31.2" x14ac:dyDescent="0.3">
      <c r="B19" s="3" t="s">
        <v>33</v>
      </c>
      <c r="C19" s="3" t="s">
        <v>31</v>
      </c>
      <c r="D19" s="3" t="s">
        <v>32</v>
      </c>
      <c r="E19" s="3" t="s">
        <v>34</v>
      </c>
      <c r="F19" s="3" t="s">
        <v>39</v>
      </c>
      <c r="G19" s="3" t="s">
        <v>40</v>
      </c>
      <c r="H19" s="3" t="s">
        <v>43</v>
      </c>
    </row>
    <row r="20" spans="2:8" x14ac:dyDescent="0.3">
      <c r="B20" s="5">
        <f t="array" ref="B20:H39">metodo_blocos_alternados(F4,F5,F6,F7,F8,F10,F11,F9,F12)</f>
        <v>25</v>
      </c>
      <c r="C20" s="5">
        <v>1.9512808008436981</v>
      </c>
      <c r="D20" s="5">
        <v>48.782020021092457</v>
      </c>
      <c r="E20" s="5">
        <v>48.782020021092457</v>
      </c>
      <c r="F20" s="5">
        <v>2.1447509202904769</v>
      </c>
      <c r="G20">
        <v>2.1447509202904769</v>
      </c>
      <c r="H20">
        <v>96.513791413071459</v>
      </c>
    </row>
    <row r="21" spans="2:8" x14ac:dyDescent="0.3">
      <c r="B21" s="5">
        <v>50</v>
      </c>
      <c r="C21" s="5">
        <v>1.3182411729578967</v>
      </c>
      <c r="D21" s="5">
        <v>65.912058647894838</v>
      </c>
      <c r="E21" s="5">
        <v>17.130038626802381</v>
      </c>
      <c r="F21" s="5">
        <v>2.3401508584639714</v>
      </c>
      <c r="G21">
        <v>2.3401508584639714</v>
      </c>
      <c r="H21">
        <v>105.30678863087871</v>
      </c>
    </row>
    <row r="22" spans="2:8" x14ac:dyDescent="0.3">
      <c r="B22" s="5">
        <v>75</v>
      </c>
      <c r="C22" s="5">
        <v>1.0235562685876327</v>
      </c>
      <c r="D22" s="5">
        <v>76.766720144072451</v>
      </c>
      <c r="E22" s="5">
        <v>10.854661496177613</v>
      </c>
      <c r="F22" s="5">
        <v>2.5837412828239223</v>
      </c>
      <c r="G22">
        <v>2.5837412828239223</v>
      </c>
      <c r="H22">
        <v>116.26835772707651</v>
      </c>
    </row>
    <row r="23" spans="2:8" x14ac:dyDescent="0.3">
      <c r="B23" s="5">
        <v>100</v>
      </c>
      <c r="C23" s="5">
        <v>0.84885739247519465</v>
      </c>
      <c r="D23" s="5">
        <v>84.885739247519467</v>
      </c>
      <c r="E23" s="5">
        <v>8.1190191034470161</v>
      </c>
      <c r="F23" s="5">
        <v>2.8972897561533415</v>
      </c>
      <c r="G23">
        <v>2.8972897561533415</v>
      </c>
      <c r="H23">
        <v>130.37803902690038</v>
      </c>
    </row>
    <row r="24" spans="2:8" x14ac:dyDescent="0.3">
      <c r="B24" s="5">
        <v>125</v>
      </c>
      <c r="C24" s="5">
        <v>0.7316526584154075</v>
      </c>
      <c r="D24" s="5">
        <v>91.456582301925934</v>
      </c>
      <c r="E24" s="5">
        <v>6.5708430544064669</v>
      </c>
      <c r="F24" s="5">
        <v>3.3185560677857779</v>
      </c>
      <c r="G24">
        <v>3.3185560677857775</v>
      </c>
      <c r="H24">
        <v>149.33502305035998</v>
      </c>
    </row>
    <row r="25" spans="2:8" x14ac:dyDescent="0.3">
      <c r="B25" s="5">
        <v>150</v>
      </c>
      <c r="C25" s="5">
        <v>0.64682406085787791</v>
      </c>
      <c r="D25" s="5">
        <v>97.023609128681684</v>
      </c>
      <c r="E25" s="5">
        <v>5.5670268267557503</v>
      </c>
      <c r="F25" s="5">
        <v>3.9196928497116375</v>
      </c>
      <c r="G25">
        <v>3.9196928497116375</v>
      </c>
      <c r="H25">
        <v>176.38617823702367</v>
      </c>
    </row>
    <row r="26" spans="2:8" x14ac:dyDescent="0.3">
      <c r="B26" s="5">
        <v>175</v>
      </c>
      <c r="C26" s="5">
        <v>0.5821873338166591</v>
      </c>
      <c r="D26" s="5">
        <v>101.88278341791535</v>
      </c>
      <c r="E26" s="5">
        <v>4.859174289233664</v>
      </c>
      <c r="F26" s="5">
        <v>4.859174289233664</v>
      </c>
      <c r="G26">
        <v>4.859174289233664</v>
      </c>
      <c r="H26">
        <v>218.66284301551488</v>
      </c>
    </row>
    <row r="27" spans="2:8" x14ac:dyDescent="0.3">
      <c r="B27" s="5">
        <v>200</v>
      </c>
      <c r="C27" s="5">
        <v>0.5310676848669218</v>
      </c>
      <c r="D27" s="5">
        <v>106.21353697338436</v>
      </c>
      <c r="E27" s="5">
        <v>4.3307535554690162</v>
      </c>
      <c r="F27" s="5">
        <v>6.5708430544064669</v>
      </c>
      <c r="G27">
        <v>6.570843054406466</v>
      </c>
      <c r="H27">
        <v>295.687937448291</v>
      </c>
    </row>
    <row r="28" spans="2:8" x14ac:dyDescent="0.3">
      <c r="B28" s="5">
        <v>225</v>
      </c>
      <c r="C28" s="5">
        <v>0.48948102143598221</v>
      </c>
      <c r="D28" s="5">
        <v>110.133229823096</v>
      </c>
      <c r="E28" s="5">
        <v>3.9196928497116375</v>
      </c>
      <c r="F28" s="5">
        <v>10.854661496177613</v>
      </c>
      <c r="G28">
        <v>10.854661496177613</v>
      </c>
      <c r="H28">
        <v>488.45976732799261</v>
      </c>
    </row>
    <row r="29" spans="2:8" x14ac:dyDescent="0.3">
      <c r="B29" s="5">
        <v>250</v>
      </c>
      <c r="C29" s="5">
        <v>0.45489217118189579</v>
      </c>
      <c r="D29" s="5">
        <v>113.72304279547394</v>
      </c>
      <c r="E29" s="5">
        <v>3.5898129723779419</v>
      </c>
      <c r="F29" s="5">
        <v>48.782020021092457</v>
      </c>
      <c r="G29">
        <v>48.782020021092457</v>
      </c>
      <c r="H29">
        <v>2195.1909009491606</v>
      </c>
    </row>
    <row r="30" spans="2:8" x14ac:dyDescent="0.3">
      <c r="B30" s="5">
        <v>275</v>
      </c>
      <c r="C30" s="5">
        <v>0.42560581404821718</v>
      </c>
      <c r="D30" s="5">
        <v>117.04159886325972</v>
      </c>
      <c r="E30" s="5">
        <v>3.3185560677857779</v>
      </c>
      <c r="F30" s="5">
        <v>17.130038626802381</v>
      </c>
      <c r="G30">
        <v>17.130038626802381</v>
      </c>
      <c r="H30">
        <v>770.85173820610714</v>
      </c>
    </row>
    <row r="31" spans="2:8" x14ac:dyDescent="0.3">
      <c r="B31" s="5">
        <v>300</v>
      </c>
      <c r="C31" s="5">
        <v>0.40044233068933555</v>
      </c>
      <c r="D31" s="5">
        <v>120.13269920680067</v>
      </c>
      <c r="E31" s="5">
        <v>3.0911003435409441</v>
      </c>
      <c r="F31" s="5">
        <v>8.1190191034470161</v>
      </c>
      <c r="G31">
        <v>8.1190191034470161</v>
      </c>
      <c r="H31">
        <v>365.35585965511569</v>
      </c>
    </row>
    <row r="32" spans="2:8" x14ac:dyDescent="0.3">
      <c r="B32" s="5">
        <v>325</v>
      </c>
      <c r="C32" s="5">
        <v>0.37855381219370465</v>
      </c>
      <c r="D32" s="5">
        <v>123.02998896295401</v>
      </c>
      <c r="E32" s="5">
        <v>2.8972897561533415</v>
      </c>
      <c r="F32" s="5">
        <v>5.5670268267557503</v>
      </c>
      <c r="G32">
        <v>5.5670268267557503</v>
      </c>
      <c r="H32">
        <v>250.51620720400877</v>
      </c>
    </row>
    <row r="33" spans="2:8" x14ac:dyDescent="0.3">
      <c r="B33" s="5">
        <v>350</v>
      </c>
      <c r="C33" s="5">
        <v>0.35931403150039776</v>
      </c>
      <c r="D33" s="5">
        <v>125.75991102513922</v>
      </c>
      <c r="E33" s="5">
        <v>2.7299220621852101</v>
      </c>
      <c r="F33" s="5">
        <v>4.3307535554690162</v>
      </c>
      <c r="G33">
        <v>4.3307535554690162</v>
      </c>
      <c r="H33">
        <v>194.88390999610573</v>
      </c>
    </row>
    <row r="34" spans="2:8" x14ac:dyDescent="0.3">
      <c r="B34" s="5">
        <v>375</v>
      </c>
      <c r="C34" s="5">
        <v>0.34224973948790172</v>
      </c>
      <c r="D34" s="5">
        <v>128.34365230796314</v>
      </c>
      <c r="E34" s="5">
        <v>2.5837412828239223</v>
      </c>
      <c r="F34" s="5">
        <v>3.5898129723779419</v>
      </c>
      <c r="G34">
        <v>3.5898129723779419</v>
      </c>
      <c r="H34">
        <v>161.54158375700737</v>
      </c>
    </row>
    <row r="35" spans="2:8" x14ac:dyDescent="0.3">
      <c r="B35" s="5">
        <v>400</v>
      </c>
      <c r="C35" s="5">
        <v>0.32699617470763009</v>
      </c>
      <c r="D35" s="5">
        <v>130.79846988305204</v>
      </c>
      <c r="E35" s="5">
        <v>2.4548175750888959</v>
      </c>
      <c r="F35" s="5">
        <v>3.0911003435409441</v>
      </c>
      <c r="G35">
        <v>3.0911003435409441</v>
      </c>
      <c r="H35">
        <v>139.09951545934248</v>
      </c>
    </row>
    <row r="36" spans="2:8" x14ac:dyDescent="0.3">
      <c r="B36" s="5">
        <v>425</v>
      </c>
      <c r="C36" s="5">
        <v>0.31326734292121411</v>
      </c>
      <c r="D36" s="5">
        <v>133.13862074151601</v>
      </c>
      <c r="E36" s="5">
        <v>2.3401508584639714</v>
      </c>
      <c r="F36" s="5">
        <v>2.7299220621852101</v>
      </c>
      <c r="G36">
        <v>2.7299220621852101</v>
      </c>
      <c r="H36">
        <v>122.84649279833445</v>
      </c>
    </row>
    <row r="37" spans="2:8" x14ac:dyDescent="0.3">
      <c r="B37" s="5">
        <v>450</v>
      </c>
      <c r="C37" s="5">
        <v>0.30083562197620656</v>
      </c>
      <c r="D37" s="5">
        <v>135.37602988929294</v>
      </c>
      <c r="E37" s="5">
        <v>2.2374091477769298</v>
      </c>
      <c r="F37" s="5">
        <v>2.4548175750888959</v>
      </c>
      <c r="G37">
        <v>2.4548175750888959</v>
      </c>
      <c r="H37">
        <v>110.46679087900031</v>
      </c>
    </row>
    <row r="38" spans="2:8" x14ac:dyDescent="0.3">
      <c r="B38" s="5">
        <v>475</v>
      </c>
      <c r="C38" s="5">
        <v>0.28951743328333351</v>
      </c>
      <c r="D38" s="5">
        <v>137.52078080958341</v>
      </c>
      <c r="E38" s="5">
        <v>2.1447509202904769</v>
      </c>
      <c r="F38" s="5">
        <v>2.2374091477769298</v>
      </c>
      <c r="G38">
        <v>2.2374091477769298</v>
      </c>
      <c r="H38">
        <v>100.68341164996184</v>
      </c>
    </row>
    <row r="39" spans="2:8" x14ac:dyDescent="0.3">
      <c r="B39" s="5">
        <v>500</v>
      </c>
      <c r="C39" s="5">
        <v>0.2791629647203181</v>
      </c>
      <c r="D39" s="5">
        <v>139.58148236015904</v>
      </c>
      <c r="E39" s="5">
        <v>2.0607015505756294</v>
      </c>
      <c r="F39" s="5">
        <v>2.0607015505756294</v>
      </c>
      <c r="G39">
        <v>2.0607015505756294</v>
      </c>
      <c r="H39">
        <v>92.731569775903324</v>
      </c>
    </row>
  </sheetData>
  <pageMargins left="0.75" right="0.75" top="1" bottom="1" header="0.5" footer="0.5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2021-10-11T21:13:44Z</dcterms:modified>
</cp:coreProperties>
</file>